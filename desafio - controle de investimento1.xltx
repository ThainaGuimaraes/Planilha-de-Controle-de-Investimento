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sp1200430\Documents\Modelos Personalizados do Office\"/>
    </mc:Choice>
  </mc:AlternateContent>
  <bookViews>
    <workbookView xWindow="0" yWindow="0" windowWidth="14380" windowHeight="2830" tabRatio="241"/>
  </bookViews>
  <sheets>
    <sheet name="Planilha1" sheetId="1" r:id="rId1"/>
    <sheet name="Planilha2" sheetId="2" r:id="rId2"/>
  </sheets>
  <definedNames>
    <definedName name="anos">Planilha1!$D$19</definedName>
    <definedName name="aporte">Planilha1!$D$18</definedName>
    <definedName name="patrimonio">Planilha1!$D$21</definedName>
    <definedName name="rendimento_carteira1">Planilha1!$D$14</definedName>
    <definedName name="salario1">Planilha1!$D$13</definedName>
    <definedName name="sugestao_investimento">Planilha1!$F$20</definedName>
    <definedName name="sugestao_investimento1">Planilha1!$D$15</definedName>
    <definedName name="taxa_mensal">Planilha1!$D$20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1" l="1"/>
  <c r="C37" i="1"/>
  <c r="C38" i="1"/>
  <c r="C39" i="1"/>
  <c r="C40" i="1"/>
  <c r="C41" i="1"/>
  <c r="H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3" i="2"/>
  <c r="C33" i="1"/>
  <c r="C25" i="1"/>
  <c r="D25" i="1" s="1"/>
  <c r="D21" i="1"/>
  <c r="D22" i="1" s="1"/>
  <c r="D15" i="1"/>
  <c r="C26" i="1"/>
  <c r="D26" i="1" s="1"/>
  <c r="C27" i="1"/>
  <c r="D27" i="1" s="1"/>
  <c r="C28" i="1"/>
  <c r="D28" i="1" s="1"/>
  <c r="C29" i="1"/>
  <c r="D29" i="1" s="1"/>
  <c r="D36" i="1" l="1"/>
  <c r="D41" i="1"/>
  <c r="D40" i="1"/>
  <c r="D37" i="1"/>
  <c r="D39" i="1"/>
  <c r="D38" i="1"/>
  <c r="D42" i="1" l="1"/>
</calcChain>
</file>

<file path=xl/sharedStrings.xml><?xml version="1.0" encoding="utf-8"?>
<sst xmlns="http://schemas.openxmlformats.org/spreadsheetml/2006/main" count="71" uniqueCount="34">
  <si>
    <t>INVESTIMENTO MENSAL</t>
  </si>
  <si>
    <t>Quanto investir por mês?</t>
  </si>
  <si>
    <t>Por quantos anos?</t>
  </si>
  <si>
    <t>Taxa de Rendimento mensal?</t>
  </si>
  <si>
    <t>Patrimônio Acumulado?</t>
  </si>
  <si>
    <t>Dividendos mensais?</t>
  </si>
  <si>
    <t>Quanto em 2 anos?</t>
  </si>
  <si>
    <t>Quanto em 5 anos?</t>
  </si>
  <si>
    <t>Quanto em 10 anos?</t>
  </si>
  <si>
    <t>Quanto em 20 anos?</t>
  </si>
  <si>
    <t>Quanto em 30 anos?</t>
  </si>
  <si>
    <t>CONFIGURAÇÕES</t>
  </si>
  <si>
    <t>Rendimento Carteira</t>
  </si>
  <si>
    <t>Salário</t>
  </si>
  <si>
    <t>CENÁRIOS</t>
  </si>
  <si>
    <t>DIVIDENDO</t>
  </si>
  <si>
    <t>Agressivo</t>
  </si>
  <si>
    <t>Conservador</t>
  </si>
  <si>
    <t>Moderado</t>
  </si>
  <si>
    <t>PERFIL</t>
  </si>
  <si>
    <t>VALOR A SER INVESTIDO POR MÊS</t>
  </si>
  <si>
    <t>TIPO DE FII</t>
  </si>
  <si>
    <t>PERCENTUAL SUGERIDO</t>
  </si>
  <si>
    <t>VALORES</t>
  </si>
  <si>
    <t>PAPEL</t>
  </si>
  <si>
    <t>TIJOLO</t>
  </si>
  <si>
    <t>HÍBRIDO</t>
  </si>
  <si>
    <t>FOF</t>
  </si>
  <si>
    <t>DESENVOLVIMENTO</t>
  </si>
  <si>
    <t>HOTELARIA</t>
  </si>
  <si>
    <t>%</t>
  </si>
  <si>
    <t>CHAVE COMPOSTA</t>
  </si>
  <si>
    <t>Moderado-TIJOLO</t>
  </si>
  <si>
    <t>Sugestão de Investimento (30%)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</si>
</sst>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5"/>
      <name val="Avalon Medium"/>
      <family val="2"/>
    </font>
    <font>
      <b/>
      <sz val="10"/>
      <color theme="5"/>
      <name val="Avalon Medium"/>
      <family val="2"/>
    </font>
    <font>
      <sz val="12"/>
      <color theme="5" tint="0.79998168889431442"/>
      <name val="Avalon Medium"/>
      <family val="2"/>
    </font>
    <font>
      <sz val="11"/>
      <color theme="5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99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theme="5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theme="5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5"/>
      </left>
      <right style="thin">
        <color theme="0" tint="-0.34998626667073579"/>
      </right>
      <top style="thin">
        <color theme="0" tint="-0.34998626667073579"/>
      </top>
      <bottom style="thick">
        <color theme="5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ck">
        <color theme="5"/>
      </bottom>
      <diagonal/>
    </border>
    <border>
      <left style="thin">
        <color theme="0" tint="-0.34998626667073579"/>
      </left>
      <right style="thick">
        <color theme="5"/>
      </right>
      <top style="thin">
        <color theme="0" tint="-0.34998626667073579"/>
      </top>
      <bottom style="thick">
        <color theme="5"/>
      </bottom>
      <diagonal/>
    </border>
    <border>
      <left style="thick">
        <color theme="5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theme="5"/>
      </right>
      <top/>
      <bottom style="thin">
        <color theme="0" tint="-0.34998626667073579"/>
      </bottom>
      <diagonal/>
    </border>
    <border>
      <left style="thick">
        <color theme="5"/>
      </left>
      <right/>
      <top style="thick">
        <color theme="5"/>
      </top>
      <bottom style="thin">
        <color theme="5"/>
      </bottom>
      <diagonal/>
    </border>
    <border>
      <left/>
      <right/>
      <top style="thick">
        <color theme="5"/>
      </top>
      <bottom style="thin">
        <color theme="5"/>
      </bottom>
      <diagonal/>
    </border>
    <border>
      <left/>
      <right style="thick">
        <color theme="5"/>
      </right>
      <top style="thick">
        <color theme="5"/>
      </top>
      <bottom style="thin">
        <color theme="5"/>
      </bottom>
      <diagonal/>
    </border>
    <border>
      <left style="thick">
        <color theme="5" tint="0.39994506668294322"/>
      </left>
      <right/>
      <top style="thick">
        <color theme="5" tint="0.39994506668294322"/>
      </top>
      <bottom/>
      <diagonal/>
    </border>
    <border>
      <left/>
      <right/>
      <top style="thick">
        <color theme="5" tint="0.39994506668294322"/>
      </top>
      <bottom/>
      <diagonal/>
    </border>
    <border>
      <left/>
      <right style="thick">
        <color theme="5" tint="0.39994506668294322"/>
      </right>
      <top style="thick">
        <color theme="5" tint="0.39994506668294322"/>
      </top>
      <bottom/>
      <diagonal/>
    </border>
    <border>
      <left style="thick">
        <color theme="5" tint="0.39994506668294322"/>
      </left>
      <right/>
      <top/>
      <bottom style="thick">
        <color theme="5" tint="0.39994506668294322"/>
      </bottom>
      <diagonal/>
    </border>
    <border>
      <left/>
      <right/>
      <top/>
      <bottom style="thick">
        <color theme="5" tint="0.39994506668294322"/>
      </bottom>
      <diagonal/>
    </border>
    <border>
      <left/>
      <right style="thick">
        <color theme="5" tint="0.39994506668294322"/>
      </right>
      <top/>
      <bottom style="thick">
        <color theme="5" tint="0.39994506668294322"/>
      </bottom>
      <diagonal/>
    </border>
    <border>
      <left style="thick">
        <color theme="5" tint="0.39994506668294322"/>
      </left>
      <right style="thin">
        <color theme="0" tint="-0.34998626667073579"/>
      </right>
      <top style="thick">
        <color theme="5" tint="0.399945066682943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ck">
        <color theme="5" tint="0.3999450666829432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theme="5" tint="0.39994506668294322"/>
      </right>
      <top style="thick">
        <color theme="5" tint="0.39994506668294322"/>
      </top>
      <bottom style="thin">
        <color theme="0" tint="-0.34998626667073579"/>
      </bottom>
      <diagonal/>
    </border>
    <border>
      <left style="thick">
        <color theme="5" tint="0.3999450666829432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theme="5" tint="0.39994506668294322"/>
      </right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theme="5" tint="0.39994506668294322"/>
      </left>
      <right style="thin">
        <color theme="0" tint="-0.34998626667073579"/>
      </right>
      <top style="thin">
        <color theme="0" tint="-0.34998626667073579"/>
      </top>
      <bottom style="thick">
        <color theme="5" tint="0.3999450666829432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ck">
        <color theme="5" tint="0.39994506668294322"/>
      </bottom>
      <diagonal/>
    </border>
    <border>
      <left style="thin">
        <color theme="0" tint="-0.34998626667073579"/>
      </left>
      <right style="thick">
        <color theme="5" tint="0.39994506668294322"/>
      </right>
      <top style="thin">
        <color theme="0" tint="-0.34998626667073579"/>
      </top>
      <bottom style="thick">
        <color theme="5" tint="0.3999450666829432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4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8" fontId="5" fillId="6" borderId="1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0" fontId="0" fillId="0" borderId="2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3" xfId="0" applyNumberFormat="1" applyBorder="1" applyAlignment="1">
      <alignment horizontal="center"/>
    </xf>
    <xf numFmtId="9" fontId="0" fillId="0" borderId="0" xfId="2" applyFont="1" applyAlignment="1">
      <alignment horizontal="center"/>
    </xf>
    <xf numFmtId="9" fontId="0" fillId="4" borderId="1" xfId="0" applyNumberFormat="1" applyFont="1" applyFill="1" applyBorder="1" applyAlignment="1">
      <alignment horizontal="center"/>
    </xf>
    <xf numFmtId="164" fontId="5" fillId="5" borderId="8" xfId="0" applyNumberFormat="1" applyFont="1" applyFill="1" applyBorder="1" applyAlignment="1">
      <alignment horizontal="center"/>
    </xf>
    <xf numFmtId="8" fontId="6" fillId="6" borderId="5" xfId="0" applyNumberFormat="1" applyFont="1" applyFill="1" applyBorder="1" applyAlignment="1">
      <alignment horizontal="center"/>
    </xf>
    <xf numFmtId="8" fontId="6" fillId="6" borderId="8" xfId="0" applyNumberFormat="1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8" fontId="5" fillId="6" borderId="5" xfId="0" applyNumberFormat="1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8" fontId="5" fillId="6" borderId="7" xfId="0" applyNumberFormat="1" applyFont="1" applyFill="1" applyBorder="1" applyAlignment="1">
      <alignment horizontal="center"/>
    </xf>
    <xf numFmtId="8" fontId="5" fillId="6" borderId="8" xfId="0" applyNumberFormat="1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8" fontId="5" fillId="6" borderId="10" xfId="0" applyNumberFormat="1" applyFont="1" applyFill="1" applyBorder="1" applyAlignment="1">
      <alignment horizontal="center"/>
    </xf>
    <xf numFmtId="8" fontId="5" fillId="6" borderId="11" xfId="0" applyNumberFormat="1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 vertical="center"/>
    </xf>
    <xf numFmtId="0" fontId="10" fillId="8" borderId="15" xfId="3" applyFont="1" applyFill="1" applyBorder="1" applyAlignment="1">
      <alignment horizontal="center"/>
    </xf>
    <xf numFmtId="0" fontId="2" fillId="8" borderId="17" xfId="3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164" fontId="3" fillId="6" borderId="19" xfId="0" applyNumberFormat="1" applyFont="1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164" fontId="3" fillId="7" borderId="22" xfId="0" applyNumberFormat="1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0" fillId="4" borderId="24" xfId="0" applyFont="1" applyFill="1" applyBorder="1" applyAlignment="1">
      <alignment horizontal="center"/>
    </xf>
    <xf numFmtId="164" fontId="0" fillId="6" borderId="25" xfId="0" applyNumberFormat="1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164" fontId="3" fillId="7" borderId="27" xfId="0" applyNumberFormat="1" applyFont="1" applyFill="1" applyBorder="1" applyAlignment="1">
      <alignment horizontal="center"/>
    </xf>
    <xf numFmtId="164" fontId="0" fillId="7" borderId="28" xfId="0" applyNumberFormat="1" applyFill="1" applyBorder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center"/>
    </xf>
    <xf numFmtId="164" fontId="5" fillId="0" borderId="11" xfId="0" applyNumberFormat="1" applyFont="1" applyBorder="1" applyAlignment="1" applyProtection="1">
      <alignment horizontal="center"/>
      <protection locked="0"/>
    </xf>
    <xf numFmtId="10" fontId="5" fillId="0" borderId="5" xfId="0" applyNumberFormat="1" applyFont="1" applyBorder="1" applyAlignment="1" applyProtection="1">
      <alignment horizontal="center"/>
      <protection locked="0"/>
    </xf>
    <xf numFmtId="164" fontId="6" fillId="0" borderId="11" xfId="1" applyNumberFormat="1" applyFont="1" applyBorder="1" applyAlignment="1" applyProtection="1">
      <alignment horizontal="center"/>
      <protection locked="0"/>
    </xf>
    <xf numFmtId="1" fontId="6" fillId="0" borderId="5" xfId="0" applyNumberFormat="1" applyFont="1" applyBorder="1" applyAlignment="1" applyProtection="1">
      <alignment horizontal="center"/>
      <protection locked="0"/>
    </xf>
    <xf numFmtId="10" fontId="6" fillId="4" borderId="5" xfId="0" applyNumberFormat="1" applyFont="1" applyFill="1" applyBorder="1" applyAlignment="1" applyProtection="1">
      <alignment horizontal="center"/>
      <protection locked="0"/>
    </xf>
    <xf numFmtId="0" fontId="10" fillId="8" borderId="16" xfId="3" applyFont="1" applyFill="1" applyBorder="1" applyAlignment="1" applyProtection="1">
      <alignment horizontal="center"/>
      <protection locked="0"/>
    </xf>
  </cellXfs>
  <cellStyles count="4">
    <cellStyle name="Moeda" xfId="1" builtinId="4"/>
    <cellStyle name="Neutra" xfId="3" builtinId="28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F9933"/>
      <color rgb="FFFFCCFF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12-494D-86D4-C8A47C8C7AC3}"/>
              </c:ext>
            </c:extLst>
          </c:dPt>
          <c:dPt>
            <c:idx val="1"/>
            <c:bubble3D val="0"/>
            <c:spPr>
              <a:solidFill>
                <a:schemeClr val="accent2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12-494D-86D4-C8A47C8C7AC3}"/>
              </c:ext>
            </c:extLst>
          </c:dPt>
          <c:dPt>
            <c:idx val="2"/>
            <c:bubble3D val="0"/>
            <c:spPr>
              <a:solidFill>
                <a:schemeClr val="accent2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12-494D-86D4-C8A47C8C7AC3}"/>
              </c:ext>
            </c:extLst>
          </c:dPt>
          <c:dPt>
            <c:idx val="3"/>
            <c:bubble3D val="0"/>
            <c:spPr>
              <a:solidFill>
                <a:schemeClr val="accent2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12-494D-86D4-C8A47C8C7AC3}"/>
              </c:ext>
            </c:extLst>
          </c:dPt>
          <c:dPt>
            <c:idx val="4"/>
            <c:bubble3D val="0"/>
            <c:spPr>
              <a:solidFill>
                <a:schemeClr val="accent2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12-494D-86D4-C8A47C8C7AC3}"/>
              </c:ext>
            </c:extLst>
          </c:dPt>
          <c:dPt>
            <c:idx val="5"/>
            <c:bubble3D val="0"/>
            <c:spPr>
              <a:solidFill>
                <a:schemeClr val="accent2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12-494D-86D4-C8A47C8C7A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Planilha1!$B$36:$B$41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HÍBRIDO</c:v>
                </c:pt>
                <c:pt idx="3">
                  <c:v>FOF</c:v>
                </c:pt>
                <c:pt idx="4">
                  <c:v>DESENVOLVIMENTO</c:v>
                </c:pt>
                <c:pt idx="5">
                  <c:v>HOTELARIA</c:v>
                </c:pt>
              </c:strCache>
            </c:strRef>
          </c:cat>
          <c:val>
            <c:numRef>
              <c:f>Planilha1!$C$36:$C$41</c:f>
              <c:numCache>
                <c:formatCode>0%</c:formatCode>
                <c:ptCount val="6"/>
                <c:pt idx="0">
                  <c:v>0.32</c:v>
                </c:pt>
                <c:pt idx="1">
                  <c:v>0.35</c:v>
                </c:pt>
                <c:pt idx="2">
                  <c:v>0.08</c:v>
                </c:pt>
                <c:pt idx="3">
                  <c:v>0.05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3-494A-8E1B-E7042A088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1229014</xdr:colOff>
      <xdr:row>0</xdr:row>
      <xdr:rowOff>63501</xdr:rowOff>
    </xdr:from>
    <xdr:to>
      <xdr:col>2</xdr:col>
      <xdr:colOff>917287</xdr:colOff>
      <xdr:row>9</xdr:row>
      <xdr:rowOff>132774</xdr:rowOff>
    </xdr:to>
    <xdr:pic>
      <xdr:nvPicPr>
        <xdr:cNvPr id="2" name="Imagem 1" descr="Vetores de Logo design - Baixe vetores grátis de alta qualidade do Freepik  | Freepik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827" t="14423" r="18269" b="10577"/>
        <a:stretch/>
      </xdr:blipFill>
      <xdr:spPr bwMode="auto">
        <a:xfrm>
          <a:off x="1546514" y="63501"/>
          <a:ext cx="1767032" cy="17318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10658</xdr:colOff>
      <xdr:row>42</xdr:row>
      <xdr:rowOff>165723</xdr:rowOff>
    </xdr:from>
    <xdr:to>
      <xdr:col>4</xdr:col>
      <xdr:colOff>115454</xdr:colOff>
      <xdr:row>56</xdr:row>
      <xdr:rowOff>86591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1:I43"/>
  <sheetViews>
    <sheetView showGridLines="0" showRowColHeaders="0" tabSelected="1" zoomScale="110" zoomScaleNormal="110" workbookViewId="0">
      <selection activeCell="G18" sqref="G18"/>
    </sheetView>
  </sheetViews>
  <sheetFormatPr defaultColWidth="0" defaultRowHeight="14.5" x14ac:dyDescent="0.35"/>
  <cols>
    <col min="1" max="1" width="4.54296875" style="1" customWidth="1"/>
    <col min="2" max="2" width="29.7265625" style="1" customWidth="1"/>
    <col min="3" max="3" width="21.08984375" style="1" bestFit="1" customWidth="1"/>
    <col min="4" max="4" width="14.26953125" style="1" customWidth="1"/>
    <col min="5" max="5" width="4.6328125" style="1" customWidth="1"/>
    <col min="6" max="6" width="3.54296875" style="1" customWidth="1"/>
    <col min="7" max="7" width="3.1796875" style="1" customWidth="1"/>
    <col min="8" max="8" width="2.81640625" style="1" customWidth="1"/>
    <col min="9" max="9" width="3.7265625" style="1" customWidth="1"/>
    <col min="10" max="11" width="8.7265625" style="1" hidden="1" customWidth="1"/>
    <col min="12" max="16384" width="8.7265625" style="1" hidden="1"/>
  </cols>
  <sheetData>
    <row r="11" spans="2:4" ht="13.5" customHeight="1" thickBot="1" x14ac:dyDescent="0.4">
      <c r="B11" s="2"/>
      <c r="C11" s="2"/>
    </row>
    <row r="12" spans="2:4" ht="13.5" customHeight="1" thickTop="1" x14ac:dyDescent="0.35">
      <c r="B12" s="47" t="s">
        <v>11</v>
      </c>
      <c r="C12" s="48"/>
      <c r="D12" s="49"/>
    </row>
    <row r="13" spans="2:4" ht="13.5" customHeight="1" x14ac:dyDescent="0.35">
      <c r="B13" s="41" t="s">
        <v>13</v>
      </c>
      <c r="C13" s="42"/>
      <c r="D13" s="57">
        <v>5000</v>
      </c>
    </row>
    <row r="14" spans="2:4" ht="13.5" customHeight="1" x14ac:dyDescent="0.35">
      <c r="B14" s="43" t="s">
        <v>12</v>
      </c>
      <c r="C14" s="44"/>
      <c r="D14" s="58">
        <v>8.0000000000000002E-3</v>
      </c>
    </row>
    <row r="15" spans="2:4" ht="13.5" customHeight="1" thickBot="1" x14ac:dyDescent="0.4">
      <c r="B15" s="45" t="s">
        <v>33</v>
      </c>
      <c r="C15" s="46"/>
      <c r="D15" s="16">
        <f>D13*30%</f>
        <v>1500</v>
      </c>
    </row>
    <row r="16" spans="2:4" ht="13.5" customHeight="1" thickTop="1" thickBot="1" x14ac:dyDescent="0.4">
      <c r="B16" s="2"/>
      <c r="C16" s="2"/>
    </row>
    <row r="17" spans="1:4" ht="21.5" customHeight="1" thickTop="1" x14ac:dyDescent="0.35">
      <c r="B17" s="50" t="s">
        <v>0</v>
      </c>
      <c r="C17" s="51"/>
      <c r="D17" s="52"/>
    </row>
    <row r="18" spans="1:4" ht="15.5" x14ac:dyDescent="0.35">
      <c r="B18" s="41" t="s">
        <v>1</v>
      </c>
      <c r="C18" s="42"/>
      <c r="D18" s="59">
        <v>1500</v>
      </c>
    </row>
    <row r="19" spans="1:4" ht="15.5" x14ac:dyDescent="0.35">
      <c r="B19" s="43" t="s">
        <v>2</v>
      </c>
      <c r="C19" s="44"/>
      <c r="D19" s="60">
        <v>6</v>
      </c>
    </row>
    <row r="20" spans="1:4" ht="15.5" x14ac:dyDescent="0.35">
      <c r="B20" s="43" t="s">
        <v>3</v>
      </c>
      <c r="C20" s="44"/>
      <c r="D20" s="61">
        <v>1.0789999999999999E-2</v>
      </c>
    </row>
    <row r="21" spans="1:4" ht="15.5" x14ac:dyDescent="0.35">
      <c r="B21" s="53" t="s">
        <v>4</v>
      </c>
      <c r="C21" s="54"/>
      <c r="D21" s="17">
        <f>FV(taxa_mensal,anos*12,aporte*-1)</f>
        <v>162045.30148739988</v>
      </c>
    </row>
    <row r="22" spans="1:4" ht="16" thickBot="1" x14ac:dyDescent="0.4">
      <c r="B22" s="55" t="s">
        <v>5</v>
      </c>
      <c r="C22" s="56"/>
      <c r="D22" s="18">
        <f>patrimonio*rendimento_carteira1</f>
        <v>1296.3624118991991</v>
      </c>
    </row>
    <row r="23" spans="1:4" ht="15.5" thickTop="1" thickBot="1" x14ac:dyDescent="0.4"/>
    <row r="24" spans="1:4" ht="19" customHeight="1" thickTop="1" x14ac:dyDescent="0.35">
      <c r="B24" s="50" t="s">
        <v>14</v>
      </c>
      <c r="C24" s="51"/>
      <c r="D24" s="27" t="s">
        <v>15</v>
      </c>
    </row>
    <row r="25" spans="1:4" ht="15.5" x14ac:dyDescent="0.35">
      <c r="A25" s="3">
        <v>2</v>
      </c>
      <c r="B25" s="24" t="s">
        <v>6</v>
      </c>
      <c r="C25" s="25">
        <f>FV($D$20,$A25*12,$D$18*-1)</f>
        <v>40841.440946467825</v>
      </c>
      <c r="D25" s="26">
        <f>C25*rendimento_carteira1</f>
        <v>326.73152757174262</v>
      </c>
    </row>
    <row r="26" spans="1:4" ht="15.5" x14ac:dyDescent="0.35">
      <c r="A26" s="3">
        <v>5</v>
      </c>
      <c r="B26" s="19" t="s">
        <v>7</v>
      </c>
      <c r="C26" s="5">
        <f>FV($D$20,$A26*12,$D$18*-1)</f>
        <v>125665.37099773147</v>
      </c>
      <c r="D26" s="20">
        <f>C26*rendimento_carteira1</f>
        <v>1005.3229679818518</v>
      </c>
    </row>
    <row r="27" spans="1:4" ht="15.5" x14ac:dyDescent="0.35">
      <c r="A27" s="3">
        <v>10</v>
      </c>
      <c r="B27" s="19" t="s">
        <v>8</v>
      </c>
      <c r="C27" s="5">
        <f>FV($D$20,$A27*12,$D$18*-1)</f>
        <v>364926.3187952583</v>
      </c>
      <c r="D27" s="20">
        <f>C27*rendimento_carteira1</f>
        <v>2919.4105503620663</v>
      </c>
    </row>
    <row r="28" spans="1:4" ht="15.5" x14ac:dyDescent="0.35">
      <c r="A28" s="3">
        <v>20</v>
      </c>
      <c r="B28" s="19" t="s">
        <v>9</v>
      </c>
      <c r="C28" s="5">
        <f>FV($D$20,$A28*12,$D$18*-1)</f>
        <v>1687797.600145621</v>
      </c>
      <c r="D28" s="20">
        <f>C28*rendimento_carteira1</f>
        <v>13502.380801164969</v>
      </c>
    </row>
    <row r="29" spans="1:4" ht="16" thickBot="1" x14ac:dyDescent="0.4">
      <c r="A29" s="3">
        <v>30</v>
      </c>
      <c r="B29" s="21" t="s">
        <v>10</v>
      </c>
      <c r="C29" s="22">
        <f>FV($D$20,$A29*12,$D$18*-1)</f>
        <v>6483254.4825070715</v>
      </c>
      <c r="D29" s="23">
        <f>C29*rendimento_carteira1</f>
        <v>51866.035860056574</v>
      </c>
    </row>
    <row r="30" spans="1:4" ht="15" thickTop="1" x14ac:dyDescent="0.35"/>
    <row r="31" spans="1:4" ht="15" thickBot="1" x14ac:dyDescent="0.4"/>
    <row r="32" spans="1:4" ht="15" thickTop="1" x14ac:dyDescent="0.35">
      <c r="B32" s="28" t="s">
        <v>19</v>
      </c>
      <c r="C32" s="62" t="s">
        <v>18</v>
      </c>
      <c r="D32" s="29"/>
    </row>
    <row r="33" spans="2:4" ht="15" thickBot="1" x14ac:dyDescent="0.4">
      <c r="B33" s="30" t="s">
        <v>20</v>
      </c>
      <c r="C33" s="31">
        <f>aporte</f>
        <v>1500</v>
      </c>
      <c r="D33" s="32"/>
    </row>
    <row r="34" spans="2:4" ht="15.5" thickTop="1" thickBot="1" x14ac:dyDescent="0.4">
      <c r="B34" s="6"/>
      <c r="C34" s="7"/>
      <c r="D34" s="2"/>
    </row>
    <row r="35" spans="2:4" ht="15" thickTop="1" x14ac:dyDescent="0.35">
      <c r="B35" s="33" t="s">
        <v>21</v>
      </c>
      <c r="C35" s="34" t="s">
        <v>22</v>
      </c>
      <c r="D35" s="35" t="s">
        <v>23</v>
      </c>
    </row>
    <row r="36" spans="2:4" x14ac:dyDescent="0.35">
      <c r="B36" s="36" t="s">
        <v>24</v>
      </c>
      <c r="C36" s="15">
        <f>VLOOKUP($C$32&amp;"-"&amp;B36,Planilha2!$A:$D,4,)</f>
        <v>0.32</v>
      </c>
      <c r="D36" s="37">
        <f>$C$33*C36</f>
        <v>480</v>
      </c>
    </row>
    <row r="37" spans="2:4" x14ac:dyDescent="0.35">
      <c r="B37" s="36" t="s">
        <v>25</v>
      </c>
      <c r="C37" s="15">
        <f>VLOOKUP($C$32&amp;"-"&amp;B37,Planilha2!$A:$D,4,)</f>
        <v>0.35</v>
      </c>
      <c r="D37" s="37">
        <f t="shared" ref="D37:D41" si="0">$C$33*C37</f>
        <v>525</v>
      </c>
    </row>
    <row r="38" spans="2:4" x14ac:dyDescent="0.35">
      <c r="B38" s="36" t="s">
        <v>26</v>
      </c>
      <c r="C38" s="15">
        <f>VLOOKUP($C$32&amp;"-"&amp;B38,Planilha2!$A:$D,4,)</f>
        <v>0.08</v>
      </c>
      <c r="D38" s="37">
        <f t="shared" si="0"/>
        <v>120</v>
      </c>
    </row>
    <row r="39" spans="2:4" x14ac:dyDescent="0.35">
      <c r="B39" s="36" t="s">
        <v>27</v>
      </c>
      <c r="C39" s="15">
        <f>VLOOKUP($C$32&amp;"-"&amp;B39,Planilha2!$A:$D,4,)</f>
        <v>0.05</v>
      </c>
      <c r="D39" s="37">
        <f t="shared" si="0"/>
        <v>75</v>
      </c>
    </row>
    <row r="40" spans="2:4" x14ac:dyDescent="0.35">
      <c r="B40" s="36" t="s">
        <v>28</v>
      </c>
      <c r="C40" s="15">
        <f>VLOOKUP($C$32&amp;"-"&amp;B40,Planilha2!$A:$D,4,)</f>
        <v>0.1</v>
      </c>
      <c r="D40" s="37">
        <f t="shared" si="0"/>
        <v>150</v>
      </c>
    </row>
    <row r="41" spans="2:4" x14ac:dyDescent="0.35">
      <c r="B41" s="36" t="s">
        <v>29</v>
      </c>
      <c r="C41" s="15">
        <f>VLOOKUP($C$32&amp;"-"&amp;B41,Planilha2!$A:$D,4,)</f>
        <v>0.1</v>
      </c>
      <c r="D41" s="37">
        <f t="shared" si="0"/>
        <v>150</v>
      </c>
    </row>
    <row r="42" spans="2:4" ht="15" thickBot="1" x14ac:dyDescent="0.4">
      <c r="B42" s="38"/>
      <c r="C42" s="39"/>
      <c r="D42" s="40">
        <f>SUM(D36:D41)</f>
        <v>1500</v>
      </c>
    </row>
    <row r="43" spans="2:4" ht="15" thickTop="1" x14ac:dyDescent="0.35"/>
  </sheetData>
  <sheetProtection sheet="1" objects="1" scenarios="1"/>
  <mergeCells count="11">
    <mergeCell ref="B24:C24"/>
    <mergeCell ref="B18:C18"/>
    <mergeCell ref="B19:C19"/>
    <mergeCell ref="B20:C20"/>
    <mergeCell ref="B21:C21"/>
    <mergeCell ref="B22:C22"/>
    <mergeCell ref="B13:C13"/>
    <mergeCell ref="B14:C14"/>
    <mergeCell ref="B15:C15"/>
    <mergeCell ref="B12:D12"/>
    <mergeCell ref="B17:D17"/>
  </mergeCells>
  <dataValidations count="1">
    <dataValidation type="list" allowBlank="1" showInputMessage="1" showErrorMessage="1" sqref="C32">
      <formula1>"Conservador,Moderado,Agressivo"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0"/>
  <sheetViews>
    <sheetView workbookViewId="0">
      <selection activeCell="D13" sqref="D13"/>
    </sheetView>
  </sheetViews>
  <sheetFormatPr defaultRowHeight="14.5" x14ac:dyDescent="0.35"/>
  <cols>
    <col min="1" max="1" width="29.26953125" style="1" bestFit="1" customWidth="1"/>
    <col min="2" max="2" width="13.6328125" style="1" bestFit="1" customWidth="1"/>
    <col min="3" max="3" width="17.7265625" style="1" bestFit="1" customWidth="1"/>
    <col min="4" max="6" width="8.7265625" style="1"/>
    <col min="7" max="7" width="15.7265625" style="1" customWidth="1"/>
    <col min="8" max="8" width="13" style="1" customWidth="1"/>
    <col min="9" max="16384" width="8.7265625" style="1"/>
  </cols>
  <sheetData>
    <row r="2" spans="1:8" x14ac:dyDescent="0.35">
      <c r="A2" s="1" t="s">
        <v>31</v>
      </c>
      <c r="B2" s="1" t="s">
        <v>19</v>
      </c>
      <c r="C2" s="1" t="s">
        <v>21</v>
      </c>
      <c r="D2" s="1" t="s">
        <v>30</v>
      </c>
      <c r="H2" s="1" t="s">
        <v>30</v>
      </c>
    </row>
    <row r="3" spans="1:8" x14ac:dyDescent="0.35">
      <c r="A3" s="1" t="str">
        <f>B3&amp;"-"&amp;C3</f>
        <v>Conservador-PAPEL</v>
      </c>
      <c r="B3" s="1" t="s">
        <v>17</v>
      </c>
      <c r="C3" s="1" t="s">
        <v>24</v>
      </c>
      <c r="D3" s="4">
        <v>0.3</v>
      </c>
      <c r="G3" s="1" t="s">
        <v>32</v>
      </c>
      <c r="H3" s="14">
        <f>VLOOKUP(G3,$A:$D,4,FALSE)</f>
        <v>0.35</v>
      </c>
    </row>
    <row r="4" spans="1:8" x14ac:dyDescent="0.35">
      <c r="A4" s="1" t="str">
        <f t="shared" ref="A4:A20" si="0">B4&amp;"-"&amp;C4</f>
        <v>Conservador-TIJOLO</v>
      </c>
      <c r="B4" s="1" t="s">
        <v>17</v>
      </c>
      <c r="C4" s="1" t="s">
        <v>25</v>
      </c>
      <c r="D4" s="4">
        <v>0.5</v>
      </c>
    </row>
    <row r="5" spans="1:8" x14ac:dyDescent="0.35">
      <c r="A5" s="1" t="str">
        <f t="shared" si="0"/>
        <v>Conservador-HÍBRIDO</v>
      </c>
      <c r="B5" s="1" t="s">
        <v>17</v>
      </c>
      <c r="C5" s="1" t="s">
        <v>26</v>
      </c>
      <c r="D5" s="4">
        <v>0.1</v>
      </c>
    </row>
    <row r="6" spans="1:8" x14ac:dyDescent="0.35">
      <c r="A6" s="1" t="str">
        <f t="shared" si="0"/>
        <v>Conservador-FOF</v>
      </c>
      <c r="B6" s="1" t="s">
        <v>17</v>
      </c>
      <c r="C6" s="1" t="s">
        <v>27</v>
      </c>
      <c r="D6" s="4">
        <v>0.1</v>
      </c>
    </row>
    <row r="7" spans="1:8" x14ac:dyDescent="0.35">
      <c r="A7" s="1" t="str">
        <f t="shared" si="0"/>
        <v>Conservador-DESENVOLVIMENTO</v>
      </c>
      <c r="B7" s="1" t="s">
        <v>17</v>
      </c>
      <c r="C7" s="1" t="s">
        <v>28</v>
      </c>
      <c r="D7" s="4">
        <v>0</v>
      </c>
    </row>
    <row r="8" spans="1:8" ht="15" thickBot="1" x14ac:dyDescent="0.4">
      <c r="A8" s="1" t="str">
        <f t="shared" si="0"/>
        <v>Conservador-HOTELARIA</v>
      </c>
      <c r="B8" s="1" t="s">
        <v>17</v>
      </c>
      <c r="C8" s="1" t="s">
        <v>29</v>
      </c>
      <c r="D8" s="4">
        <v>0</v>
      </c>
    </row>
    <row r="9" spans="1:8" ht="15" thickTop="1" x14ac:dyDescent="0.35">
      <c r="A9" s="8" t="str">
        <f t="shared" si="0"/>
        <v>Moderado-PAPEL</v>
      </c>
      <c r="B9" s="8" t="s">
        <v>18</v>
      </c>
      <c r="C9" s="8" t="s">
        <v>24</v>
      </c>
      <c r="D9" s="9">
        <v>0.32</v>
      </c>
    </row>
    <row r="10" spans="1:8" x14ac:dyDescent="0.35">
      <c r="A10" s="10" t="str">
        <f t="shared" si="0"/>
        <v>Moderado-TIJOLO</v>
      </c>
      <c r="B10" s="10" t="s">
        <v>18</v>
      </c>
      <c r="C10" s="10" t="s">
        <v>25</v>
      </c>
      <c r="D10" s="11">
        <v>0.35</v>
      </c>
    </row>
    <row r="11" spans="1:8" x14ac:dyDescent="0.35">
      <c r="A11" s="10" t="str">
        <f t="shared" si="0"/>
        <v>Moderado-HÍBRIDO</v>
      </c>
      <c r="B11" s="10" t="s">
        <v>18</v>
      </c>
      <c r="C11" s="10" t="s">
        <v>26</v>
      </c>
      <c r="D11" s="11">
        <v>0.08</v>
      </c>
    </row>
    <row r="12" spans="1:8" x14ac:dyDescent="0.35">
      <c r="A12" s="10" t="str">
        <f t="shared" si="0"/>
        <v>Moderado-FOF</v>
      </c>
      <c r="B12" s="10" t="s">
        <v>18</v>
      </c>
      <c r="C12" s="10" t="s">
        <v>27</v>
      </c>
      <c r="D12" s="11">
        <v>0.05</v>
      </c>
    </row>
    <row r="13" spans="1:8" x14ac:dyDescent="0.35">
      <c r="A13" s="10" t="str">
        <f t="shared" si="0"/>
        <v>Moderado-DESENVOLVIMENTO</v>
      </c>
      <c r="B13" s="10" t="s">
        <v>18</v>
      </c>
      <c r="C13" s="10" t="s">
        <v>28</v>
      </c>
      <c r="D13" s="11">
        <v>0.1</v>
      </c>
    </row>
    <row r="14" spans="1:8" ht="15" thickBot="1" x14ac:dyDescent="0.4">
      <c r="A14" s="12" t="str">
        <f t="shared" si="0"/>
        <v>Moderado-HOTELARIA</v>
      </c>
      <c r="B14" s="12" t="s">
        <v>18</v>
      </c>
      <c r="C14" s="12" t="s">
        <v>29</v>
      </c>
      <c r="D14" s="13">
        <v>0.1</v>
      </c>
    </row>
    <row r="15" spans="1:8" ht="15" thickTop="1" x14ac:dyDescent="0.35">
      <c r="A15" s="1" t="str">
        <f t="shared" si="0"/>
        <v>Agressivo-PAPEL</v>
      </c>
      <c r="B15" s="1" t="s">
        <v>16</v>
      </c>
      <c r="C15" s="1" t="s">
        <v>24</v>
      </c>
      <c r="D15" s="4">
        <v>0.5</v>
      </c>
    </row>
    <row r="16" spans="1:8" x14ac:dyDescent="0.35">
      <c r="A16" s="1" t="str">
        <f t="shared" si="0"/>
        <v>Agressivo-TIJOLO</v>
      </c>
      <c r="B16" s="1" t="s">
        <v>16</v>
      </c>
      <c r="C16" s="1" t="s">
        <v>25</v>
      </c>
      <c r="D16" s="4">
        <v>0.1</v>
      </c>
    </row>
    <row r="17" spans="1:4" x14ac:dyDescent="0.35">
      <c r="A17" s="1" t="str">
        <f t="shared" si="0"/>
        <v>Agressivo-HÍBRIDO</v>
      </c>
      <c r="B17" s="1" t="s">
        <v>16</v>
      </c>
      <c r="C17" s="1" t="s">
        <v>26</v>
      </c>
      <c r="D17" s="4">
        <v>0.05</v>
      </c>
    </row>
    <row r="18" spans="1:4" x14ac:dyDescent="0.35">
      <c r="A18" s="1" t="str">
        <f t="shared" si="0"/>
        <v>Agressivo-FOF</v>
      </c>
      <c r="B18" s="1" t="s">
        <v>16</v>
      </c>
      <c r="C18" s="1" t="s">
        <v>27</v>
      </c>
      <c r="D18" s="4">
        <v>0.05</v>
      </c>
    </row>
    <row r="19" spans="1:4" x14ac:dyDescent="0.35">
      <c r="A19" s="1" t="str">
        <f t="shared" si="0"/>
        <v>Agressivo-DESENVOLVIMENTO</v>
      </c>
      <c r="B19" s="1" t="s">
        <v>16</v>
      </c>
      <c r="C19" s="1" t="s">
        <v>28</v>
      </c>
      <c r="D19" s="4">
        <v>0.2</v>
      </c>
    </row>
    <row r="20" spans="1:4" x14ac:dyDescent="0.35">
      <c r="A20" s="1" t="str">
        <f t="shared" si="0"/>
        <v>Agressivo-HOTELARIA</v>
      </c>
      <c r="B20" s="1" t="s">
        <v>16</v>
      </c>
      <c r="C20" s="1" t="s">
        <v>29</v>
      </c>
      <c r="D20" s="4">
        <v>0.1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Planilha1</vt:lpstr>
      <vt:lpstr>Planilha2</vt:lpstr>
      <vt:lpstr>anos</vt:lpstr>
      <vt:lpstr>aporte</vt:lpstr>
      <vt:lpstr>patrimonio</vt:lpstr>
      <vt:lpstr>rendimento_carteira1</vt:lpstr>
      <vt:lpstr>salario1</vt:lpstr>
      <vt:lpstr>sugestao_investimento</vt:lpstr>
      <vt:lpstr>sugestao_investimento1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Thaina de Souza Guimaraes</dc:creator>
  <cp:lastModifiedBy>Thaina de Souza Guimaraes</cp:lastModifiedBy>
  <dcterms:created xsi:type="dcterms:W3CDTF">2026-01-13T19:58:57Z</dcterms:created>
  <dcterms:modified xsi:type="dcterms:W3CDTF">2026-01-13T22:36:01Z</dcterms:modified>
</cp:coreProperties>
</file>